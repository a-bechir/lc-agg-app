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hp\Desktop\01_LocalContent_Prediction-v2.0\Data\"/>
    </mc:Choice>
  </mc:AlternateContent>
  <xr:revisionPtr revIDLastSave="0" documentId="13_ncr:1_{A7562311-2242-4328-A2FE-C0C2A0956D8C}" xr6:coauthVersionLast="47" xr6:coauthVersionMax="47" xr10:uidLastSave="{00000000-0000-0000-0000-000000000000}"/>
  <bookViews>
    <workbookView xWindow="28680" yWindow="1875" windowWidth="29040" windowHeight="15720" tabRatio="834" xr2:uid="{8D8951D2-A14C-4687-A037-FA3880CC266A}"/>
  </bookViews>
  <sheets>
    <sheet name="Historical Record " sheetId="1" r:id="rId1"/>
    <sheet name="Workforce-Records" sheetId="2" r:id="rId2"/>
    <sheet name="Goods &amp; Serrvices-Records" sheetId="3" r:id="rId3"/>
    <sheet name="Expenses &amp; Depreciation" sheetId="5" r:id="rId4"/>
    <sheet name="Capital Exp." sheetId="16" r:id="rId5"/>
    <sheet name="Summary" sheetId="7" r:id="rId6"/>
    <sheet name="JV" sheetId="20" r:id="rId7"/>
  </sheets>
  <definedNames>
    <definedName name="Above400M">#REF!</definedName>
    <definedName name="Valu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7" l="1"/>
  <c r="D31" i="7"/>
  <c r="D30" i="7"/>
  <c r="D29" i="7"/>
  <c r="D4" i="3"/>
  <c r="D5" i="3"/>
  <c r="D6" i="3"/>
  <c r="D3" i="3"/>
  <c r="G6" i="7"/>
  <c r="G5" i="7"/>
  <c r="G4" i="7"/>
  <c r="G3" i="7"/>
</calcChain>
</file>

<file path=xl/sharedStrings.xml><?xml version="1.0" encoding="utf-8"?>
<sst xmlns="http://schemas.openxmlformats.org/spreadsheetml/2006/main" count="108" uniqueCount="54">
  <si>
    <t>Evaluation Criteria</t>
  </si>
  <si>
    <t>Local Content from depreciation and amortization</t>
  </si>
  <si>
    <t xml:space="preserve">Local Content from labor </t>
  </si>
  <si>
    <t xml:space="preserve">Local Content from Goods and Services </t>
  </si>
  <si>
    <t xml:space="preserve">Local Content from Saudi training </t>
  </si>
  <si>
    <t xml:space="preserve">Local Content from Supplier development </t>
  </si>
  <si>
    <t xml:space="preserve">Local Content from research and development </t>
  </si>
  <si>
    <t>Total Local Content Contribution</t>
  </si>
  <si>
    <t>Total Relevant Cost of Operations in the Kingdom of Saudi Arabia2</t>
  </si>
  <si>
    <t>Local Content Score (%)</t>
  </si>
  <si>
    <t>Export Revenue Score  (%)3</t>
  </si>
  <si>
    <t>Year</t>
  </si>
  <si>
    <t>Saudi Compensation (SAR)</t>
  </si>
  <si>
    <t>Foreign Compensation (SAR)</t>
  </si>
  <si>
    <t>Total Compensation (SAR)</t>
  </si>
  <si>
    <t>Saudi LC %</t>
  </si>
  <si>
    <t>Foreign LC %</t>
  </si>
  <si>
    <t>Total LC %</t>
  </si>
  <si>
    <t>Saudi LC Value (SAR)</t>
  </si>
  <si>
    <t>Foreign LC Value (SAR)</t>
  </si>
  <si>
    <t>Total LC Value (SAR)</t>
  </si>
  <si>
    <t>Total Expense – Goods &amp; Services (SAR)</t>
  </si>
  <si>
    <t>LC Contribution – Goods &amp; Services (SAR)</t>
  </si>
  <si>
    <t>LC % – Goods &amp; Services</t>
  </si>
  <si>
    <t>Depreciation &amp; Amortization (SAR)</t>
  </si>
  <si>
    <t>LC from Compensation</t>
  </si>
  <si>
    <t>LC from Goods &amp; Services</t>
  </si>
  <si>
    <t>LC from CapEx</t>
  </si>
  <si>
    <t>Training Other Expenses (SAR)</t>
  </si>
  <si>
    <t xml:space="preserve">Capital expenses </t>
  </si>
  <si>
    <t>IHCC</t>
  </si>
  <si>
    <t xml:space="preserve">       81,244.00 </t>
  </si>
  <si>
    <t xml:space="preserve"> 10,149,821.00 </t>
  </si>
  <si>
    <t>#</t>
  </si>
  <si>
    <t xml:space="preserve">project </t>
  </si>
  <si>
    <t xml:space="preserve">GVF </t>
  </si>
  <si>
    <t xml:space="preserve">Duration </t>
  </si>
  <si>
    <t xml:space="preserve">Qiddiyah </t>
  </si>
  <si>
    <t>2025-2026-2027</t>
  </si>
  <si>
    <t>Fibrex</t>
  </si>
  <si>
    <t xml:space="preserve">Futur red sea </t>
  </si>
  <si>
    <t>2025 - Q1 2026</t>
  </si>
  <si>
    <t xml:space="preserve">Acciona </t>
  </si>
  <si>
    <t>Fitout red sea</t>
  </si>
  <si>
    <t xml:space="preserve">BK Gulf </t>
  </si>
  <si>
    <t xml:space="preserve">MEP Red sea </t>
  </si>
  <si>
    <t>Contribution to LC (SAR) 2024</t>
  </si>
  <si>
    <t xml:space="preserve"> Contribution to LC (SAR) 2023</t>
  </si>
  <si>
    <t xml:space="preserve"> Contribution to LC (SAR) 2022</t>
  </si>
  <si>
    <t>Contribution to LC (SAR) 2021</t>
  </si>
  <si>
    <t>Contribution to LC (SAR) 2020</t>
  </si>
  <si>
    <t>Contribution to LC (SAR) 2019</t>
  </si>
  <si>
    <t xml:space="preserve">LC from Training </t>
  </si>
  <si>
    <t>LC from Depreciation and Amortization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</si>
</sst>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.00_-;_-* #,##0.00\-;_-* &quot;-&quot;??_-;_-@_-"/>
    <numFmt numFmtId="167" formatCode="_-* #,##0.00_-;\-* #,##0.00_-;_-* \-??_-;_-@_-"/>
    <numFmt numFmtId="168" formatCode="0.00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53D63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"/>
      <name val="Tahoma"/>
      <family val="2"/>
    </font>
    <font>
      <sz val="10"/>
      <color theme="1"/>
      <name val="Times New Roman"/>
      <family val="1"/>
    </font>
    <font>
      <b/>
      <sz val="11"/>
      <color rgb="FF000000"/>
      <name val="Aptos Narrow"/>
    </font>
    <font>
      <sz val="11"/>
      <color rgb="FF000000"/>
      <name val="Aptos Narrow"/>
    </font>
    <font>
      <sz val="10"/>
      <color rgb="FF3333FF"/>
      <name val="Times New Roman"/>
      <family val="1"/>
    </font>
    <font>
      <sz val="11"/>
      <color rgb="FF3333FF"/>
      <name val="Aptos Narrow"/>
    </font>
    <font>
      <sz val="11"/>
      <color rgb="FF3333F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5" fillId="0" borderId="0" applyFill="0" applyBorder="0" applyAlignment="0" applyProtection="0"/>
    <xf numFmtId="0" fontId="5" fillId="0" borderId="0"/>
    <xf numFmtId="0" fontId="6" fillId="0" borderId="0"/>
    <xf numFmtId="0" fontId="6" fillId="0" borderId="0"/>
    <xf numFmtId="0" fontId="4" fillId="0" borderId="0"/>
  </cellStyleXfs>
  <cellXfs count="48">
    <xf numFmtId="0" fontId="0" fillId="0" borderId="0" xfId="0"/>
    <xf numFmtId="165" fontId="0" fillId="0" borderId="0" xfId="1" applyNumberFormat="1" applyFont="1"/>
    <xf numFmtId="165" fontId="12" fillId="0" borderId="0" xfId="1" applyNumberFormat="1" applyFont="1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 wrapText="1" readingOrder="2"/>
    </xf>
    <xf numFmtId="0" fontId="2" fillId="0" borderId="1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right" vertical="center" wrapText="1"/>
    </xf>
    <xf numFmtId="10" fontId="0" fillId="0" borderId="1" xfId="0" applyNumberFormat="1" applyBorder="1" applyAlignment="1">
      <alignment horizontal="right" vertical="center" wrapText="1"/>
    </xf>
    <xf numFmtId="43" fontId="0" fillId="0" borderId="1" xfId="1" applyFont="1" applyBorder="1" applyAlignment="1">
      <alignment horizontal="right" vertical="center" wrapText="1"/>
    </xf>
    <xf numFmtId="9" fontId="0" fillId="0" borderId="1" xfId="2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4" fontId="0" fillId="0" borderId="1" xfId="0" applyNumberFormat="1" applyBorder="1"/>
    <xf numFmtId="4" fontId="2" fillId="0" borderId="1" xfId="0" applyNumberFormat="1" applyFont="1" applyBorder="1" applyAlignment="1">
      <alignment horizontal="right" vertical="center" wrapText="1"/>
    </xf>
    <xf numFmtId="4" fontId="0" fillId="0" borderId="0" xfId="0" applyNumberFormat="1"/>
    <xf numFmtId="4" fontId="13" fillId="0" borderId="1" xfId="0" applyNumberFormat="1" applyFont="1" applyBorder="1" applyAlignment="1">
      <alignment horizontal="right" vertical="center" wrapText="1"/>
    </xf>
    <xf numFmtId="43" fontId="7" fillId="0" borderId="1" xfId="1" applyNumberFormat="1" applyFont="1" applyBorder="1"/>
    <xf numFmtId="43" fontId="10" fillId="0" borderId="1" xfId="1" applyNumberFormat="1" applyFont="1" applyBorder="1"/>
    <xf numFmtId="43" fontId="9" fillId="0" borderId="1" xfId="1" applyNumberFormat="1" applyFont="1" applyBorder="1" applyAlignment="1">
      <alignment horizontal="right" vertical="center" wrapText="1"/>
    </xf>
    <xf numFmtId="43" fontId="11" fillId="0" borderId="1" xfId="1" applyNumberFormat="1" applyFont="1" applyBorder="1" applyAlignment="1">
      <alignment horizontal="right" vertical="center" wrapText="1"/>
    </xf>
    <xf numFmtId="43" fontId="0" fillId="0" borderId="1" xfId="1" applyNumberFormat="1" applyFont="1" applyBorder="1" applyAlignment="1">
      <alignment vertical="center"/>
    </xf>
    <xf numFmtId="43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2" fillId="0" borderId="1" xfId="2" applyNumberFormat="1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43" fontId="0" fillId="0" borderId="1" xfId="0" applyNumberFormat="1" applyBorder="1"/>
    <xf numFmtId="43" fontId="0" fillId="0" borderId="1" xfId="0" applyNumberFormat="1" applyBorder="1" applyAlignment="1">
      <alignment horizontal="right" vertical="center" wrapText="1"/>
    </xf>
    <xf numFmtId="43" fontId="0" fillId="0" borderId="1" xfId="1" applyNumberFormat="1" applyFont="1" applyBorder="1" applyAlignment="1" applyProtection="1">
      <alignment vertical="center"/>
      <protection locked="0"/>
    </xf>
    <xf numFmtId="43" fontId="0" fillId="0" borderId="1" xfId="1" applyNumberFormat="1" applyFont="1" applyBorder="1" applyAlignment="1">
      <alignment horizontal="right" vertical="center" wrapText="1"/>
    </xf>
    <xf numFmtId="9" fontId="0" fillId="0" borderId="1" xfId="0" applyNumberFormat="1" applyBorder="1"/>
    <xf numFmtId="1" fontId="2" fillId="0" borderId="1" xfId="0" applyNumberFormat="1" applyFont="1" applyBorder="1" applyAlignment="1">
      <alignment horizontal="center" vertical="center" wrapText="1"/>
    </xf>
    <xf numFmtId="43" fontId="0" fillId="0" borderId="1" xfId="1" applyNumberFormat="1" applyFont="1" applyBorder="1"/>
    <xf numFmtId="168" fontId="0" fillId="0" borderId="0" xfId="0" applyNumberFormat="1"/>
    <xf numFmtId="43" fontId="13" fillId="0" borderId="1" xfId="0" applyNumberFormat="1" applyFont="1" applyBorder="1" applyAlignment="1">
      <alignment horizontal="right" vertical="center" wrapText="1"/>
    </xf>
    <xf numFmtId="9" fontId="13" fillId="0" borderId="1" xfId="0" applyNumberFormat="1" applyFont="1" applyBorder="1" applyAlignment="1">
      <alignment horizontal="right" vertical="center" wrapText="1"/>
    </xf>
    <xf numFmtId="0" fontId="13" fillId="0" borderId="1" xfId="0" applyFont="1" applyBorder="1" applyAlignment="1">
      <alignment horizontal="right" vertical="center" wrapText="1"/>
    </xf>
    <xf numFmtId="43" fontId="13" fillId="0" borderId="1" xfId="1" applyNumberFormat="1" applyFont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</cellXfs>
  <cellStyles count="14">
    <cellStyle name="Comma" xfId="1" builtinId="3"/>
    <cellStyle name="Comma 12" xfId="4" xr:uid="{81B1FBC2-6862-4F9E-8569-78ABEBDA6172}"/>
    <cellStyle name="Comma 2" xfId="5" xr:uid="{57E96272-1018-434F-9757-AB0FCF226A9A}"/>
    <cellStyle name="Comma 2 2" xfId="6" xr:uid="{BFDD78DD-2738-4BE0-8CF7-2BEE00626665}"/>
    <cellStyle name="Comma 2 2 2" xfId="3" xr:uid="{729FAE4B-289C-4A02-A4B5-DD33EB58635D}"/>
    <cellStyle name="Comma 2 3" xfId="7" xr:uid="{60D20383-B8E1-436A-9577-0A68724DF122}"/>
    <cellStyle name="Comma 3" xfId="8" xr:uid="{5AA2CA47-A60C-47AE-85A6-F8951B7A0890}"/>
    <cellStyle name="Comma 4" xfId="9" xr:uid="{E9757E45-B629-4DB5-9314-883D34F6A4D2}"/>
    <cellStyle name="Normal" xfId="0" builtinId="0"/>
    <cellStyle name="Normal 2" xfId="10" xr:uid="{CA1A67A0-FB44-487D-9615-D26EBD64E0F2}"/>
    <cellStyle name="Normal 2 2" xfId="11" xr:uid="{5A0BFCF4-4746-450F-B799-B67D2BCC6604}"/>
    <cellStyle name="Normal 3" xfId="12" xr:uid="{7B1A24D7-1103-48D4-A502-188F9491A9E0}"/>
    <cellStyle name="Normal 4 2" xfId="13" xr:uid="{DFEA68DA-BEDE-411F-A5FE-307B7027F081}"/>
    <cellStyle name="Per cent" xfId="2" builtinId="5"/>
  </cellStyles>
  <dxfs count="4"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F0DD-70D6-460B-8D22-10D5A1AEABE3}">
  <dimension ref="A1:G16"/>
  <sheetViews>
    <sheetView tabSelected="1" workbookViewId="0">
      <selection activeCell="C27" sqref="C27"/>
    </sheetView>
  </sheetViews>
  <sheetFormatPr defaultRowHeight="15" x14ac:dyDescent="0.25"/>
  <cols>
    <col min="1" max="1" width="61.5703125" style="9" bestFit="1" customWidth="1"/>
    <col min="2" max="2" width="28.140625" style="9" bestFit="1" customWidth="1"/>
    <col min="3" max="4" width="28.5703125" style="9" bestFit="1" customWidth="1"/>
    <col min="5" max="7" width="28.140625" style="9" bestFit="1" customWidth="1"/>
    <col min="8" max="16384" width="9.140625" style="9"/>
  </cols>
  <sheetData>
    <row r="1" spans="1:7" x14ac:dyDescent="0.25">
      <c r="A1" s="8" t="s">
        <v>0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</row>
    <row r="2" spans="1:7" x14ac:dyDescent="0.25">
      <c r="A2" s="10" t="s">
        <v>1</v>
      </c>
      <c r="B2" s="28">
        <v>4509641.9000000004</v>
      </c>
      <c r="C2" s="28">
        <v>3834302</v>
      </c>
      <c r="D2" s="28">
        <v>4436842.5999999996</v>
      </c>
      <c r="E2" s="28">
        <v>8023705.2000000002</v>
      </c>
      <c r="F2" s="29"/>
      <c r="G2" s="28">
        <v>3877652.2</v>
      </c>
    </row>
    <row r="3" spans="1:7" x14ac:dyDescent="0.25">
      <c r="A3" s="10" t="s">
        <v>2</v>
      </c>
      <c r="B3" s="28">
        <v>51836108.014775686</v>
      </c>
      <c r="C3" s="28">
        <v>36893587.620220937</v>
      </c>
      <c r="D3" s="28">
        <v>35714213.862258404</v>
      </c>
      <c r="E3" s="28">
        <v>31718189.027200013</v>
      </c>
      <c r="F3" s="29"/>
      <c r="G3" s="28">
        <v>35641698.280000001</v>
      </c>
    </row>
    <row r="4" spans="1:7" x14ac:dyDescent="0.25">
      <c r="A4" s="10" t="s">
        <v>3</v>
      </c>
      <c r="B4" s="28">
        <v>104271291.40964226</v>
      </c>
      <c r="C4" s="28">
        <v>58111403.34515629</v>
      </c>
      <c r="D4" s="28">
        <v>46611594.450825058</v>
      </c>
      <c r="E4" s="28">
        <v>37762844.543898225</v>
      </c>
      <c r="F4" s="29"/>
      <c r="G4" s="28">
        <v>100859308.46922153</v>
      </c>
    </row>
    <row r="5" spans="1:7" x14ac:dyDescent="0.25">
      <c r="A5" s="10" t="s">
        <v>4</v>
      </c>
      <c r="B5" s="28">
        <v>263861.19419354864</v>
      </c>
      <c r="C5" s="28">
        <v>81244</v>
      </c>
      <c r="D5" s="28">
        <v>1376612</v>
      </c>
      <c r="E5" s="28">
        <v>10321</v>
      </c>
      <c r="F5" s="29"/>
      <c r="G5" s="28">
        <v>2581676</v>
      </c>
    </row>
    <row r="6" spans="1:7" x14ac:dyDescent="0.25">
      <c r="A6" s="10" t="s">
        <v>5</v>
      </c>
      <c r="B6" s="28">
        <v>0</v>
      </c>
      <c r="C6" s="28">
        <v>0</v>
      </c>
      <c r="D6" s="28">
        <v>0</v>
      </c>
      <c r="E6" s="28">
        <v>0</v>
      </c>
      <c r="F6" s="29"/>
      <c r="G6" s="28">
        <v>933465</v>
      </c>
    </row>
    <row r="7" spans="1:7" x14ac:dyDescent="0.25">
      <c r="A7" s="10" t="s">
        <v>6</v>
      </c>
      <c r="B7" s="28">
        <v>0</v>
      </c>
      <c r="C7" s="28">
        <v>0</v>
      </c>
      <c r="D7" s="28">
        <v>0</v>
      </c>
      <c r="E7" s="28">
        <v>0</v>
      </c>
      <c r="F7" s="29"/>
      <c r="G7" s="28">
        <v>0</v>
      </c>
    </row>
    <row r="8" spans="1:7" x14ac:dyDescent="0.25">
      <c r="A8" s="10" t="s">
        <v>7</v>
      </c>
      <c r="B8" s="28">
        <v>160880902.51861149</v>
      </c>
      <c r="C8" s="28">
        <v>98920536.965377226</v>
      </c>
      <c r="D8" s="28">
        <v>88139262.913083464</v>
      </c>
      <c r="E8" s="28">
        <v>77515059.771098241</v>
      </c>
      <c r="F8" s="29"/>
      <c r="G8" s="28">
        <v>143893799.94922155</v>
      </c>
    </row>
    <row r="9" spans="1:7" x14ac:dyDescent="0.25">
      <c r="A9" s="10" t="s">
        <v>8</v>
      </c>
      <c r="B9" s="28">
        <v>471881649.64539999</v>
      </c>
      <c r="C9" s="28">
        <v>259740843.97059998</v>
      </c>
      <c r="D9" s="28">
        <v>280447546.61570001</v>
      </c>
      <c r="E9" s="28">
        <v>289923260.95204604</v>
      </c>
      <c r="F9" s="29"/>
      <c r="G9" s="28">
        <v>440550640.05000001</v>
      </c>
    </row>
    <row r="10" spans="1:7" x14ac:dyDescent="0.25">
      <c r="A10" s="10" t="s">
        <v>9</v>
      </c>
      <c r="B10" s="31">
        <v>0.3409348565249507</v>
      </c>
      <c r="C10" s="31">
        <v>0.38084321069109189</v>
      </c>
      <c r="D10" s="31">
        <v>0.31428074153867191</v>
      </c>
      <c r="E10" s="31">
        <v>0.26736405873938968</v>
      </c>
      <c r="F10" s="32"/>
      <c r="G10" s="31">
        <v>0.32662261013374178</v>
      </c>
    </row>
    <row r="11" spans="1:7" x14ac:dyDescent="0.25">
      <c r="A11" s="10" t="s">
        <v>10</v>
      </c>
      <c r="B11" s="30">
        <v>0</v>
      </c>
      <c r="C11" s="30">
        <v>0</v>
      </c>
      <c r="D11" s="30"/>
      <c r="E11" s="30"/>
      <c r="F11" s="30"/>
      <c r="G11" s="30"/>
    </row>
    <row r="16" spans="1:7" x14ac:dyDescent="0.25">
      <c r="A1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C743-BE45-4BFC-A0E5-496D20BB4C1D}">
  <dimension ref="A1:J9"/>
  <sheetViews>
    <sheetView workbookViewId="0">
      <selection activeCell="C23" sqref="C23"/>
    </sheetView>
  </sheetViews>
  <sheetFormatPr defaultRowHeight="15" x14ac:dyDescent="0.25"/>
  <cols>
    <col min="1" max="1" width="14.85546875" customWidth="1"/>
    <col min="2" max="2" width="29.7109375" customWidth="1"/>
    <col min="3" max="3" width="31.7109375" customWidth="1"/>
    <col min="4" max="4" width="28.85546875" customWidth="1"/>
    <col min="5" max="5" width="17.42578125" customWidth="1"/>
    <col min="6" max="6" width="15.42578125" customWidth="1"/>
    <col min="7" max="7" width="15.140625" customWidth="1"/>
    <col min="8" max="8" width="24.28515625" customWidth="1"/>
    <col min="9" max="9" width="23.7109375" customWidth="1"/>
    <col min="10" max="10" width="26" customWidth="1"/>
  </cols>
  <sheetData>
    <row r="1" spans="1:10" x14ac:dyDescent="0.25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</row>
    <row r="2" spans="1:10" x14ac:dyDescent="0.25">
      <c r="A2" s="38">
        <v>2025</v>
      </c>
      <c r="B2" s="33"/>
      <c r="C2" s="33"/>
      <c r="D2" s="33"/>
      <c r="E2" s="37"/>
      <c r="F2" s="37"/>
      <c r="G2" s="37"/>
      <c r="H2" s="33"/>
      <c r="I2" s="33"/>
      <c r="J2" s="33"/>
    </row>
    <row r="3" spans="1:10" x14ac:dyDescent="0.25">
      <c r="A3" s="38">
        <v>2024</v>
      </c>
      <c r="B3" s="34">
        <v>18161063</v>
      </c>
      <c r="C3" s="34">
        <v>63061883</v>
      </c>
      <c r="D3" s="34">
        <v>81222945</v>
      </c>
      <c r="E3" s="13">
        <v>1</v>
      </c>
      <c r="F3" s="14">
        <v>0.53400000000000003</v>
      </c>
      <c r="G3" s="13">
        <v>0.64</v>
      </c>
      <c r="H3" s="34">
        <v>18161063</v>
      </c>
      <c r="I3" s="34">
        <v>33675045</v>
      </c>
      <c r="J3" s="34">
        <v>51836108</v>
      </c>
    </row>
    <row r="4" spans="1:10" x14ac:dyDescent="0.25">
      <c r="A4" s="38">
        <v>2023</v>
      </c>
      <c r="B4" s="35">
        <v>15215027.42346848</v>
      </c>
      <c r="C4" s="36">
        <v>58590703.234466091</v>
      </c>
      <c r="D4" s="36">
        <v>73805730.657934576</v>
      </c>
      <c r="E4" s="13">
        <v>1</v>
      </c>
      <c r="F4" s="13">
        <v>0.37</v>
      </c>
      <c r="G4" s="16">
        <v>0.4998742955504451</v>
      </c>
      <c r="H4" s="35">
        <v>15215027.42346848</v>
      </c>
      <c r="I4" s="36">
        <v>21678560.196752455</v>
      </c>
      <c r="J4" s="36">
        <v>36893587.620220937</v>
      </c>
    </row>
    <row r="5" spans="1:10" x14ac:dyDescent="0.25">
      <c r="A5" s="38">
        <v>2022</v>
      </c>
      <c r="B5" s="35">
        <v>16632799.54009269</v>
      </c>
      <c r="C5" s="36">
        <v>51571390.05990734</v>
      </c>
      <c r="D5" s="36">
        <v>68204189.600000024</v>
      </c>
      <c r="E5" s="13">
        <v>1</v>
      </c>
      <c r="F5" s="13">
        <v>0.37</v>
      </c>
      <c r="G5" s="16">
        <v>0.52363665739176812</v>
      </c>
      <c r="H5" s="36">
        <v>16632799.54009269</v>
      </c>
      <c r="I5" s="36">
        <v>19081414.322165716</v>
      </c>
      <c r="J5" s="36">
        <v>35714213.862258404</v>
      </c>
    </row>
    <row r="6" spans="1:10" x14ac:dyDescent="0.25">
      <c r="A6" s="38">
        <v>2021</v>
      </c>
      <c r="B6" s="41">
        <v>49012122.280000001</v>
      </c>
      <c r="C6" s="41">
        <v>14289218.279999999</v>
      </c>
      <c r="D6" s="41">
        <v>63301340.560000002</v>
      </c>
      <c r="E6" s="42">
        <v>1</v>
      </c>
      <c r="F6" s="42">
        <v>0.37</v>
      </c>
      <c r="G6" s="43">
        <v>0.86</v>
      </c>
      <c r="H6" s="41">
        <v>49012122.280000001</v>
      </c>
      <c r="I6" s="41">
        <v>5287011</v>
      </c>
      <c r="J6" s="41">
        <v>54299133</v>
      </c>
    </row>
    <row r="9" spans="1:10" x14ac:dyDescent="0.25">
      <c r="G9" s="40"/>
    </row>
  </sheetData>
  <conditionalFormatting sqref="B4:B5">
    <cfRule type="expression" dxfId="3" priority="1" stopIfTrue="1">
      <formula>Value=Above400M</formula>
    </cfRule>
  </conditionalFormatting>
  <conditionalFormatting sqref="H4">
    <cfRule type="expression" dxfId="2" priority="2" stopIfTrue="1">
      <formula>Value=Above400M</formula>
    </cfRule>
  </conditionalFormatting>
  <dataValidations count="1">
    <dataValidation type="decimal" operator="greaterThanOrEqual" allowBlank="1" showInputMessage="1" showErrorMessage="1" sqref="B4:B5 H4" xr:uid="{0825ECF1-337E-4EB3-929B-EA8DD4903CC5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4247-48FB-45CA-8C2A-F7F0E70B6541}">
  <dimension ref="A1:D6"/>
  <sheetViews>
    <sheetView workbookViewId="0">
      <selection activeCell="C29" sqref="C29"/>
    </sheetView>
  </sheetViews>
  <sheetFormatPr defaultRowHeight="15" x14ac:dyDescent="0.25"/>
  <cols>
    <col min="2" max="2" width="41.42578125" customWidth="1"/>
    <col min="3" max="3" width="39.28515625" bestFit="1" customWidth="1"/>
    <col min="4" max="4" width="32.28515625" customWidth="1"/>
  </cols>
  <sheetData>
    <row r="1" spans="1:4" x14ac:dyDescent="0.25">
      <c r="A1" s="8" t="s">
        <v>11</v>
      </c>
      <c r="B1" s="8" t="s">
        <v>21</v>
      </c>
      <c r="C1" s="8" t="s">
        <v>22</v>
      </c>
      <c r="D1" s="8" t="s">
        <v>23</v>
      </c>
    </row>
    <row r="2" spans="1:4" x14ac:dyDescent="0.25">
      <c r="A2" s="38">
        <v>2025</v>
      </c>
      <c r="B2" s="33"/>
      <c r="C2" s="33"/>
      <c r="D2" s="37"/>
    </row>
    <row r="3" spans="1:4" x14ac:dyDescent="0.25">
      <c r="A3" s="38">
        <v>2024</v>
      </c>
      <c r="B3" s="34">
        <v>382621162.05000001</v>
      </c>
      <c r="C3" s="34">
        <v>104271291.41</v>
      </c>
      <c r="D3" s="37">
        <f>C3/B3</f>
        <v>0.27251835954743681</v>
      </c>
    </row>
    <row r="4" spans="1:4" x14ac:dyDescent="0.25">
      <c r="A4" s="38">
        <v>2023</v>
      </c>
      <c r="B4" s="36">
        <v>178716751.3126654</v>
      </c>
      <c r="C4" s="36">
        <v>58111403.34515629</v>
      </c>
      <c r="D4" s="37">
        <f>C4/B4</f>
        <v>0.32515924175171607</v>
      </c>
    </row>
    <row r="5" spans="1:4" x14ac:dyDescent="0.25">
      <c r="A5" s="38">
        <v>2022</v>
      </c>
      <c r="B5" s="36">
        <v>200716924.01569995</v>
      </c>
      <c r="C5" s="39">
        <v>46611594.450825058</v>
      </c>
      <c r="D5" s="37">
        <f>C5/B5</f>
        <v>0.23222553194955861</v>
      </c>
    </row>
    <row r="6" spans="1:4" x14ac:dyDescent="0.25">
      <c r="A6" s="38">
        <v>2021</v>
      </c>
      <c r="B6" s="34">
        <v>213615369</v>
      </c>
      <c r="C6" s="34">
        <v>36615275</v>
      </c>
      <c r="D6" s="37">
        <f>C6/B6</f>
        <v>0.17140749362467456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8128-7854-45F0-A5BC-DDACF6BF148B}">
  <dimension ref="A1:D6"/>
  <sheetViews>
    <sheetView workbookViewId="0">
      <selection activeCell="D28" sqref="D28"/>
    </sheetView>
  </sheetViews>
  <sheetFormatPr defaultRowHeight="15" x14ac:dyDescent="0.25"/>
  <cols>
    <col min="2" max="2" width="31.140625" customWidth="1"/>
    <col min="3" max="3" width="43.28515625" customWidth="1"/>
    <col min="4" max="4" width="34.28515625" customWidth="1"/>
  </cols>
  <sheetData>
    <row r="1" spans="1:4" x14ac:dyDescent="0.25">
      <c r="A1" s="8" t="s">
        <v>11</v>
      </c>
      <c r="B1" s="8" t="s">
        <v>28</v>
      </c>
      <c r="C1" s="8" t="s">
        <v>24</v>
      </c>
      <c r="D1" s="8" t="s">
        <v>29</v>
      </c>
    </row>
    <row r="2" spans="1:4" x14ac:dyDescent="0.25">
      <c r="A2" s="12">
        <v>2025</v>
      </c>
      <c r="B2" s="7"/>
      <c r="C2" s="7"/>
      <c r="D2" s="7"/>
    </row>
    <row r="3" spans="1:4" x14ac:dyDescent="0.25">
      <c r="A3" s="12">
        <v>2024</v>
      </c>
      <c r="B3" s="18">
        <v>263861.19</v>
      </c>
      <c r="C3" s="18">
        <v>7773681</v>
      </c>
      <c r="D3" s="7"/>
    </row>
    <row r="4" spans="1:4" x14ac:dyDescent="0.25">
      <c r="A4" s="12">
        <v>2023</v>
      </c>
      <c r="B4" s="15">
        <v>81244</v>
      </c>
      <c r="C4" s="15">
        <v>7137118</v>
      </c>
      <c r="D4" s="7"/>
    </row>
    <row r="5" spans="1:4" x14ac:dyDescent="0.25">
      <c r="A5" s="12">
        <v>2022</v>
      </c>
      <c r="B5" s="15">
        <v>1376612</v>
      </c>
      <c r="C5" s="15">
        <v>10149821</v>
      </c>
      <c r="D5" s="7"/>
    </row>
    <row r="6" spans="1:4" x14ac:dyDescent="0.25">
      <c r="A6" s="12">
        <v>2021</v>
      </c>
      <c r="B6" s="17">
        <v>10321</v>
      </c>
      <c r="C6" s="17">
        <v>12996230</v>
      </c>
      <c r="D6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CA54-33AF-4D70-AD0D-4C5AE4F3A6BD}">
  <dimension ref="A1:E11"/>
  <sheetViews>
    <sheetView workbookViewId="0">
      <selection activeCell="D24" sqref="D24"/>
    </sheetView>
  </sheetViews>
  <sheetFormatPr defaultRowHeight="15" x14ac:dyDescent="0.25"/>
  <cols>
    <col min="1" max="1" width="12.140625" customWidth="1"/>
    <col min="2" max="2" width="32.85546875" customWidth="1"/>
    <col min="3" max="3" width="33.140625" customWidth="1"/>
    <col min="4" max="4" width="31.85546875" customWidth="1"/>
  </cols>
  <sheetData>
    <row r="1" spans="1:5" x14ac:dyDescent="0.25">
      <c r="A1" s="8" t="s">
        <v>11</v>
      </c>
      <c r="B1" s="8" t="s">
        <v>28</v>
      </c>
      <c r="C1" s="8" t="s">
        <v>24</v>
      </c>
      <c r="D1" s="8" t="s">
        <v>29</v>
      </c>
    </row>
    <row r="2" spans="1:5" x14ac:dyDescent="0.25">
      <c r="A2" s="19">
        <v>2025</v>
      </c>
      <c r="B2" s="24"/>
      <c r="C2" s="24"/>
      <c r="D2" s="25"/>
      <c r="E2" s="1"/>
    </row>
    <row r="3" spans="1:5" x14ac:dyDescent="0.25">
      <c r="A3" s="19">
        <v>2024</v>
      </c>
      <c r="B3" s="26">
        <v>263861.19</v>
      </c>
      <c r="C3" s="26">
        <v>7773681</v>
      </c>
      <c r="D3" s="27">
        <v>2061202</v>
      </c>
      <c r="E3" s="1"/>
    </row>
    <row r="4" spans="1:5" x14ac:dyDescent="0.25">
      <c r="A4" s="19">
        <v>2023</v>
      </c>
      <c r="B4" s="26" t="s">
        <v>31</v>
      </c>
      <c r="C4" s="26">
        <v>7137118</v>
      </c>
      <c r="D4" s="27">
        <v>2402139</v>
      </c>
      <c r="E4" s="1"/>
    </row>
    <row r="5" spans="1:5" x14ac:dyDescent="0.25">
      <c r="A5" s="19">
        <v>2022</v>
      </c>
      <c r="B5" s="26">
        <v>1376612</v>
      </c>
      <c r="C5" s="26" t="s">
        <v>32</v>
      </c>
      <c r="D5" s="27">
        <v>1172754</v>
      </c>
      <c r="E5" s="1"/>
    </row>
    <row r="6" spans="1:5" x14ac:dyDescent="0.25">
      <c r="A6" s="19">
        <v>2021</v>
      </c>
      <c r="B6" s="26">
        <v>10321</v>
      </c>
      <c r="C6" s="26">
        <v>12996230</v>
      </c>
      <c r="D6" s="27">
        <v>69253973</v>
      </c>
      <c r="E6" s="1"/>
    </row>
    <row r="7" spans="1:5" x14ac:dyDescent="0.25">
      <c r="B7" s="1"/>
      <c r="C7" s="1"/>
      <c r="D7" s="2"/>
      <c r="E7" s="1"/>
    </row>
    <row r="8" spans="1:5" x14ac:dyDescent="0.25">
      <c r="B8" s="1"/>
      <c r="C8" s="1"/>
      <c r="D8" s="1"/>
      <c r="E8" s="1"/>
    </row>
    <row r="9" spans="1:5" x14ac:dyDescent="0.25">
      <c r="B9" s="1"/>
      <c r="C9" s="1"/>
      <c r="D9" s="1"/>
      <c r="E9" s="1"/>
    </row>
    <row r="10" spans="1:5" x14ac:dyDescent="0.25">
      <c r="B10" s="1"/>
      <c r="C10" s="1"/>
      <c r="D10" s="1"/>
      <c r="E10" s="1"/>
    </row>
    <row r="11" spans="1:5" x14ac:dyDescent="0.25">
      <c r="B11" s="1"/>
      <c r="C11" s="1"/>
      <c r="D11" s="1"/>
      <c r="E1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1846-98E4-4F64-9029-074ED234DECF}">
  <dimension ref="A1:J46"/>
  <sheetViews>
    <sheetView workbookViewId="0">
      <selection activeCell="J25" sqref="J25"/>
    </sheetView>
  </sheetViews>
  <sheetFormatPr defaultRowHeight="15" x14ac:dyDescent="0.25"/>
  <cols>
    <col min="1" max="1" width="43.85546875" customWidth="1"/>
    <col min="2" max="2" width="27.7109375" customWidth="1"/>
    <col min="3" max="3" width="29.85546875" customWidth="1"/>
    <col min="4" max="4" width="22.5703125" customWidth="1"/>
    <col min="5" max="5" width="25" customWidth="1"/>
    <col min="6" max="6" width="22" customWidth="1"/>
    <col min="7" max="7" width="28.140625" customWidth="1"/>
    <col min="8" max="8" width="18.85546875" customWidth="1"/>
    <col min="9" max="9" width="19" customWidth="1"/>
    <col min="10" max="10" width="22.7109375" customWidth="1"/>
  </cols>
  <sheetData>
    <row r="1" spans="1:8" ht="30" x14ac:dyDescent="0.25">
      <c r="A1" s="8" t="s">
        <v>11</v>
      </c>
      <c r="B1" s="8" t="s">
        <v>25</v>
      </c>
      <c r="C1" s="8" t="s">
        <v>26</v>
      </c>
      <c r="D1" s="8" t="s">
        <v>27</v>
      </c>
      <c r="E1" s="8" t="s">
        <v>52</v>
      </c>
      <c r="F1" s="45" t="s">
        <v>53</v>
      </c>
      <c r="G1" s="8" t="s">
        <v>20</v>
      </c>
    </row>
    <row r="2" spans="1:8" x14ac:dyDescent="0.25">
      <c r="A2" s="12">
        <v>2025</v>
      </c>
      <c r="B2" s="20"/>
      <c r="C2" s="20"/>
      <c r="D2" s="20"/>
      <c r="E2" s="20"/>
      <c r="F2" s="20"/>
      <c r="G2" s="20"/>
    </row>
    <row r="3" spans="1:8" x14ac:dyDescent="0.25">
      <c r="A3" s="12">
        <v>2024</v>
      </c>
      <c r="B3" s="18">
        <v>51836108</v>
      </c>
      <c r="C3" s="18">
        <v>104271291</v>
      </c>
      <c r="D3" s="23">
        <v>2061202</v>
      </c>
      <c r="E3" s="44">
        <v>263861.19419354864</v>
      </c>
      <c r="F3" s="44">
        <v>4509641.9000000004</v>
      </c>
      <c r="G3" s="21">
        <f>SUM(A3:D3)</f>
        <v>158170625</v>
      </c>
      <c r="H3" s="22"/>
    </row>
    <row r="4" spans="1:8" x14ac:dyDescent="0.25">
      <c r="A4" s="12">
        <v>2023</v>
      </c>
      <c r="B4" s="18">
        <v>15215027.42346848</v>
      </c>
      <c r="C4" s="18">
        <v>58111403.34515629</v>
      </c>
      <c r="D4" s="23">
        <v>2402139</v>
      </c>
      <c r="E4" s="44">
        <v>81244</v>
      </c>
      <c r="F4" s="44">
        <v>3834302</v>
      </c>
      <c r="G4" s="21">
        <f t="shared" ref="G4:G6" si="0">SUM(A4:D4)</f>
        <v>75730592.768624768</v>
      </c>
    </row>
    <row r="5" spans="1:8" x14ac:dyDescent="0.25">
      <c r="A5" s="12">
        <v>2022</v>
      </c>
      <c r="B5" s="18">
        <v>16632799.54009269</v>
      </c>
      <c r="C5" s="18">
        <v>46611594.450825058</v>
      </c>
      <c r="D5" s="23">
        <v>1172754</v>
      </c>
      <c r="E5" s="44">
        <v>1376612</v>
      </c>
      <c r="F5" s="44">
        <v>4436842.5999999996</v>
      </c>
      <c r="G5" s="21">
        <f t="shared" si="0"/>
        <v>64419169.99091775</v>
      </c>
    </row>
    <row r="6" spans="1:8" x14ac:dyDescent="0.25">
      <c r="A6" s="12">
        <v>2021</v>
      </c>
      <c r="B6" s="18">
        <v>49012122.280000001</v>
      </c>
      <c r="C6" s="18">
        <v>36615275</v>
      </c>
      <c r="D6" s="23">
        <v>69253973</v>
      </c>
      <c r="E6" s="44">
        <v>10321</v>
      </c>
      <c r="F6" s="44">
        <v>8023705.2000000002</v>
      </c>
      <c r="G6" s="21">
        <f t="shared" si="0"/>
        <v>154883391.28</v>
      </c>
    </row>
    <row r="8" spans="1:8" x14ac:dyDescent="0.25">
      <c r="A8" s="8" t="s">
        <v>0</v>
      </c>
      <c r="B8" s="47" t="s">
        <v>46</v>
      </c>
      <c r="C8" s="47" t="s">
        <v>47</v>
      </c>
      <c r="D8" s="47" t="s">
        <v>48</v>
      </c>
      <c r="E8" s="47" t="s">
        <v>49</v>
      </c>
      <c r="F8" s="47" t="s">
        <v>50</v>
      </c>
      <c r="G8" s="47" t="s">
        <v>51</v>
      </c>
    </row>
    <row r="9" spans="1:8" x14ac:dyDescent="0.25">
      <c r="A9" s="10" t="s">
        <v>1</v>
      </c>
      <c r="B9" s="28">
        <v>4509641.9000000004</v>
      </c>
      <c r="C9" s="28">
        <v>3834302</v>
      </c>
      <c r="D9" s="28">
        <v>4436842.5999999996</v>
      </c>
      <c r="E9" s="28">
        <v>8023705.2000000002</v>
      </c>
      <c r="F9" s="29"/>
      <c r="G9" s="28">
        <v>3877652.2</v>
      </c>
    </row>
    <row r="10" spans="1:8" x14ac:dyDescent="0.25">
      <c r="A10" s="10" t="s">
        <v>2</v>
      </c>
      <c r="B10" s="28">
        <v>51836108.014775686</v>
      </c>
      <c r="C10" s="28">
        <v>36893587.620220937</v>
      </c>
      <c r="D10" s="28">
        <v>35714213.862258404</v>
      </c>
      <c r="E10" s="28">
        <v>31718189.027200013</v>
      </c>
      <c r="F10" s="29"/>
      <c r="G10" s="28">
        <v>35641698.280000001</v>
      </c>
    </row>
    <row r="11" spans="1:8" x14ac:dyDescent="0.25">
      <c r="A11" s="10" t="s">
        <v>3</v>
      </c>
      <c r="B11" s="28">
        <v>104271291.40964226</v>
      </c>
      <c r="C11" s="28">
        <v>58111403.34515629</v>
      </c>
      <c r="D11" s="28">
        <v>46611594.450825058</v>
      </c>
      <c r="E11" s="28">
        <v>37762844.543898225</v>
      </c>
      <c r="F11" s="29"/>
      <c r="G11" s="28">
        <v>100859308.46922153</v>
      </c>
    </row>
    <row r="12" spans="1:8" x14ac:dyDescent="0.25">
      <c r="A12" s="10" t="s">
        <v>4</v>
      </c>
      <c r="B12" s="28">
        <v>263861.19419354864</v>
      </c>
      <c r="C12" s="28">
        <v>81244</v>
      </c>
      <c r="D12" s="28">
        <v>1376612</v>
      </c>
      <c r="E12" s="28">
        <v>10321</v>
      </c>
      <c r="F12" s="29"/>
      <c r="G12" s="28">
        <v>2581676</v>
      </c>
    </row>
    <row r="13" spans="1:8" x14ac:dyDescent="0.25">
      <c r="A13" s="10" t="s">
        <v>5</v>
      </c>
      <c r="B13" s="28">
        <v>0</v>
      </c>
      <c r="C13" s="28">
        <v>0</v>
      </c>
      <c r="D13" s="28">
        <v>0</v>
      </c>
      <c r="E13" s="28">
        <v>0</v>
      </c>
      <c r="F13" s="29"/>
      <c r="G13" s="28">
        <v>933465</v>
      </c>
    </row>
    <row r="14" spans="1:8" x14ac:dyDescent="0.25">
      <c r="A14" s="10" t="s">
        <v>6</v>
      </c>
      <c r="B14" s="28">
        <v>0</v>
      </c>
      <c r="C14" s="28">
        <v>0</v>
      </c>
      <c r="D14" s="28">
        <v>0</v>
      </c>
      <c r="E14" s="28">
        <v>0</v>
      </c>
      <c r="F14" s="29"/>
      <c r="G14" s="28">
        <v>0</v>
      </c>
    </row>
    <row r="15" spans="1:8" x14ac:dyDescent="0.25">
      <c r="A15" s="10" t="s">
        <v>7</v>
      </c>
      <c r="B15" s="28">
        <v>160880902.51861149</v>
      </c>
      <c r="C15" s="28">
        <v>98920536.965377226</v>
      </c>
      <c r="D15" s="28">
        <v>88139262.913083464</v>
      </c>
      <c r="E15" s="28">
        <v>77515059.771098241</v>
      </c>
      <c r="F15" s="29"/>
      <c r="G15" s="28">
        <v>143893799.94922155</v>
      </c>
    </row>
    <row r="16" spans="1:8" x14ac:dyDescent="0.25">
      <c r="A16" s="10" t="s">
        <v>8</v>
      </c>
      <c r="B16" s="28">
        <v>471881649.64539999</v>
      </c>
      <c r="C16" s="28">
        <v>259740843.97059998</v>
      </c>
      <c r="D16" s="28">
        <v>280447546.61570001</v>
      </c>
      <c r="E16" s="28">
        <v>289923260.95204604</v>
      </c>
      <c r="F16" s="29"/>
      <c r="G16" s="28">
        <v>440550640.05000001</v>
      </c>
    </row>
    <row r="17" spans="1:10" x14ac:dyDescent="0.25">
      <c r="A17" s="10" t="s">
        <v>9</v>
      </c>
      <c r="B17" s="31">
        <v>0.3409348565249507</v>
      </c>
      <c r="C17" s="31">
        <v>0.38084321069109189</v>
      </c>
      <c r="D17" s="31">
        <v>0.31428074153867191</v>
      </c>
      <c r="E17" s="31">
        <v>0.26736405873938968</v>
      </c>
      <c r="F17" s="32"/>
      <c r="G17" s="31">
        <v>0.32662261013374178</v>
      </c>
    </row>
    <row r="18" spans="1:10" x14ac:dyDescent="0.25">
      <c r="A18" s="10" t="s">
        <v>10</v>
      </c>
      <c r="B18" s="30">
        <v>0</v>
      </c>
      <c r="C18" s="30">
        <v>0</v>
      </c>
      <c r="D18" s="30"/>
      <c r="E18" s="30"/>
      <c r="F18" s="30"/>
      <c r="G18" s="30"/>
    </row>
    <row r="20" spans="1:10" x14ac:dyDescent="0.25">
      <c r="A20" s="8" t="s">
        <v>11</v>
      </c>
      <c r="B20" s="47" t="s">
        <v>12</v>
      </c>
      <c r="C20" s="47" t="s">
        <v>13</v>
      </c>
      <c r="D20" s="47" t="s">
        <v>14</v>
      </c>
      <c r="E20" s="47" t="s">
        <v>15</v>
      </c>
      <c r="F20" s="47" t="s">
        <v>16</v>
      </c>
      <c r="G20" s="47" t="s">
        <v>17</v>
      </c>
      <c r="H20" s="47" t="s">
        <v>18</v>
      </c>
      <c r="I20" s="47" t="s">
        <v>19</v>
      </c>
      <c r="J20" s="47" t="s">
        <v>20</v>
      </c>
    </row>
    <row r="21" spans="1:10" x14ac:dyDescent="0.25">
      <c r="A21" s="38">
        <v>2025</v>
      </c>
      <c r="B21" s="33"/>
      <c r="C21" s="33"/>
      <c r="D21" s="33"/>
      <c r="E21" s="37"/>
      <c r="F21" s="37"/>
      <c r="G21" s="37"/>
      <c r="H21" s="33"/>
      <c r="I21" s="33"/>
      <c r="J21" s="33"/>
    </row>
    <row r="22" spans="1:10" x14ac:dyDescent="0.25">
      <c r="A22" s="38">
        <v>2024</v>
      </c>
      <c r="B22" s="34">
        <v>18161063</v>
      </c>
      <c r="C22" s="34">
        <v>63061883</v>
      </c>
      <c r="D22" s="34">
        <v>81222945</v>
      </c>
      <c r="E22" s="13">
        <v>1</v>
      </c>
      <c r="F22" s="14">
        <v>0.53400000000000003</v>
      </c>
      <c r="G22" s="13">
        <v>0.64</v>
      </c>
      <c r="H22" s="34">
        <v>18161063</v>
      </c>
      <c r="I22" s="34">
        <v>33675045</v>
      </c>
      <c r="J22" s="34">
        <v>51836108</v>
      </c>
    </row>
    <row r="23" spans="1:10" x14ac:dyDescent="0.25">
      <c r="A23" s="38">
        <v>2023</v>
      </c>
      <c r="B23" s="35">
        <v>15215027.42346848</v>
      </c>
      <c r="C23" s="36">
        <v>58590703.234466091</v>
      </c>
      <c r="D23" s="36">
        <v>73805730.657934576</v>
      </c>
      <c r="E23" s="13">
        <v>1</v>
      </c>
      <c r="F23" s="13">
        <v>0.37</v>
      </c>
      <c r="G23" s="16">
        <v>0.4998742955504451</v>
      </c>
      <c r="H23" s="35">
        <v>15215027.42346848</v>
      </c>
      <c r="I23" s="36">
        <v>21678560.196752455</v>
      </c>
      <c r="J23" s="36">
        <v>36893587.620220937</v>
      </c>
    </row>
    <row r="24" spans="1:10" x14ac:dyDescent="0.25">
      <c r="A24" s="38">
        <v>2022</v>
      </c>
      <c r="B24" s="35">
        <v>16632799.54009269</v>
      </c>
      <c r="C24" s="36">
        <v>51571390.05990734</v>
      </c>
      <c r="D24" s="36">
        <v>68204189.600000024</v>
      </c>
      <c r="E24" s="13">
        <v>1</v>
      </c>
      <c r="F24" s="13">
        <v>0.37</v>
      </c>
      <c r="G24" s="16">
        <v>0.52363665739176812</v>
      </c>
      <c r="H24" s="36">
        <v>16632799.54009269</v>
      </c>
      <c r="I24" s="36">
        <v>19081414.322165716</v>
      </c>
      <c r="J24" s="36">
        <v>35714213.862258404</v>
      </c>
    </row>
    <row r="25" spans="1:10" x14ac:dyDescent="0.25">
      <c r="A25" s="38">
        <v>2021</v>
      </c>
      <c r="B25" s="41">
        <v>49012122.280000001</v>
      </c>
      <c r="C25" s="41">
        <v>14289218.279999999</v>
      </c>
      <c r="D25" s="41">
        <v>63301340.560000002</v>
      </c>
      <c r="E25" s="42">
        <v>1</v>
      </c>
      <c r="F25" s="42">
        <v>0.37</v>
      </c>
      <c r="G25" s="43">
        <v>0.86</v>
      </c>
      <c r="H25" s="41">
        <v>49012122.280000001</v>
      </c>
      <c r="I25" s="41">
        <v>5287011</v>
      </c>
      <c r="J25" s="41">
        <v>54299133</v>
      </c>
    </row>
    <row r="27" spans="1:10" x14ac:dyDescent="0.25">
      <c r="A27" s="47" t="s">
        <v>11</v>
      </c>
      <c r="B27" s="47" t="s">
        <v>21</v>
      </c>
      <c r="C27" s="47" t="s">
        <v>22</v>
      </c>
      <c r="D27" s="47" t="s">
        <v>23</v>
      </c>
    </row>
    <row r="28" spans="1:10" x14ac:dyDescent="0.25">
      <c r="A28" s="38">
        <v>2025</v>
      </c>
      <c r="B28" s="33"/>
      <c r="C28" s="33"/>
      <c r="D28" s="37"/>
    </row>
    <row r="29" spans="1:10" x14ac:dyDescent="0.25">
      <c r="A29" s="38">
        <v>2024</v>
      </c>
      <c r="B29" s="34">
        <v>382621162.05000001</v>
      </c>
      <c r="C29" s="34">
        <v>104271291.41</v>
      </c>
      <c r="D29" s="37">
        <f>C29/B29</f>
        <v>0.27251835954743681</v>
      </c>
    </row>
    <row r="30" spans="1:10" x14ac:dyDescent="0.25">
      <c r="A30" s="38">
        <v>2023</v>
      </c>
      <c r="B30" s="36">
        <v>178716751.3126654</v>
      </c>
      <c r="C30" s="36">
        <v>58111403.34515629</v>
      </c>
      <c r="D30" s="37">
        <f>C30/B30</f>
        <v>0.32515924175171607</v>
      </c>
    </row>
    <row r="31" spans="1:10" x14ac:dyDescent="0.25">
      <c r="A31" s="38">
        <v>2022</v>
      </c>
      <c r="B31" s="36">
        <v>200716924.01569995</v>
      </c>
      <c r="C31" s="39">
        <v>46611594.450825058</v>
      </c>
      <c r="D31" s="37">
        <f>C31/B31</f>
        <v>0.23222553194955861</v>
      </c>
    </row>
    <row r="32" spans="1:10" x14ac:dyDescent="0.25">
      <c r="A32" s="38">
        <v>2021</v>
      </c>
      <c r="B32" s="34">
        <v>213615369</v>
      </c>
      <c r="C32" s="34">
        <v>36615275</v>
      </c>
      <c r="D32" s="37">
        <f>C32/B32</f>
        <v>0.17140749362467456</v>
      </c>
    </row>
    <row r="34" spans="1:4" x14ac:dyDescent="0.25">
      <c r="A34" s="47" t="s">
        <v>11</v>
      </c>
      <c r="B34" s="47" t="s">
        <v>28</v>
      </c>
      <c r="C34" s="47" t="s">
        <v>24</v>
      </c>
      <c r="D34" s="47" t="s">
        <v>29</v>
      </c>
    </row>
    <row r="35" spans="1:4" x14ac:dyDescent="0.25">
      <c r="A35" s="12">
        <v>2025</v>
      </c>
      <c r="B35" s="7"/>
      <c r="C35" s="7"/>
      <c r="D35" s="7"/>
    </row>
    <row r="36" spans="1:4" x14ac:dyDescent="0.25">
      <c r="A36" s="12">
        <v>2024</v>
      </c>
      <c r="B36" s="18">
        <v>263861.19</v>
      </c>
      <c r="C36" s="18">
        <v>7773681</v>
      </c>
      <c r="D36" s="7"/>
    </row>
    <row r="37" spans="1:4" x14ac:dyDescent="0.25">
      <c r="A37" s="12">
        <v>2023</v>
      </c>
      <c r="B37" s="15">
        <v>81244</v>
      </c>
      <c r="C37" s="15">
        <v>7137118</v>
      </c>
      <c r="D37" s="7"/>
    </row>
    <row r="38" spans="1:4" x14ac:dyDescent="0.25">
      <c r="A38" s="12">
        <v>2022</v>
      </c>
      <c r="B38" s="15">
        <v>1376612</v>
      </c>
      <c r="C38" s="15">
        <v>10149821</v>
      </c>
      <c r="D38" s="7"/>
    </row>
    <row r="39" spans="1:4" x14ac:dyDescent="0.25">
      <c r="A39" s="12">
        <v>2021</v>
      </c>
      <c r="B39" s="17">
        <v>10321</v>
      </c>
      <c r="C39" s="17">
        <v>12996230</v>
      </c>
      <c r="D39" s="7"/>
    </row>
    <row r="41" spans="1:4" x14ac:dyDescent="0.25">
      <c r="A41" s="46" t="s">
        <v>11</v>
      </c>
      <c r="B41" s="46" t="s">
        <v>28</v>
      </c>
      <c r="C41" s="46" t="s">
        <v>24</v>
      </c>
      <c r="D41" s="46" t="s">
        <v>29</v>
      </c>
    </row>
    <row r="42" spans="1:4" x14ac:dyDescent="0.25">
      <c r="A42" s="19">
        <v>2025</v>
      </c>
      <c r="B42" s="24"/>
      <c r="C42" s="24"/>
      <c r="D42" s="25"/>
    </row>
    <row r="43" spans="1:4" x14ac:dyDescent="0.25">
      <c r="A43" s="19">
        <v>2024</v>
      </c>
      <c r="B43" s="26">
        <v>263861.19</v>
      </c>
      <c r="C43" s="26">
        <v>7773681</v>
      </c>
      <c r="D43" s="27">
        <v>2061202</v>
      </c>
    </row>
    <row r="44" spans="1:4" x14ac:dyDescent="0.25">
      <c r="A44" s="19">
        <v>2023</v>
      </c>
      <c r="B44" s="26" t="s">
        <v>31</v>
      </c>
      <c r="C44" s="26">
        <v>7137118</v>
      </c>
      <c r="D44" s="27">
        <v>2402139</v>
      </c>
    </row>
    <row r="45" spans="1:4" x14ac:dyDescent="0.25">
      <c r="A45" s="19">
        <v>2022</v>
      </c>
      <c r="B45" s="26">
        <v>1376612</v>
      </c>
      <c r="C45" s="26" t="s">
        <v>32</v>
      </c>
      <c r="D45" s="27">
        <v>1172754</v>
      </c>
    </row>
    <row r="46" spans="1:4" x14ac:dyDescent="0.25">
      <c r="A46" s="19">
        <v>2021</v>
      </c>
      <c r="B46" s="26">
        <v>10321</v>
      </c>
      <c r="C46" s="26">
        <v>12996230</v>
      </c>
      <c r="D46" s="27">
        <v>69253973</v>
      </c>
    </row>
  </sheetData>
  <conditionalFormatting sqref="B23:B24">
    <cfRule type="expression" dxfId="1" priority="1" stopIfTrue="1">
      <formula>Value=Above400M</formula>
    </cfRule>
  </conditionalFormatting>
  <conditionalFormatting sqref="H23">
    <cfRule type="expression" dxfId="0" priority="2" stopIfTrue="1">
      <formula>Value=Above400M</formula>
    </cfRule>
  </conditionalFormatting>
  <dataValidations count="1">
    <dataValidation type="decimal" operator="greaterThanOrEqual" allowBlank="1" showInputMessage="1" showErrorMessage="1" sqref="B23:B24 H23" xr:uid="{D9E44FA2-B4BF-47D2-BF31-17E2039BD429}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DE0D-EFD4-4990-A016-15F732AB8C4C}">
  <sheetPr>
    <tabColor theme="9" tint="0.59999389629810485"/>
  </sheetPr>
  <dimension ref="A1:E8"/>
  <sheetViews>
    <sheetView workbookViewId="0">
      <selection activeCell="E20" sqref="E20"/>
    </sheetView>
  </sheetViews>
  <sheetFormatPr defaultRowHeight="15" x14ac:dyDescent="0.25"/>
  <cols>
    <col min="2" max="2" width="20.5703125" customWidth="1"/>
    <col min="3" max="3" width="15.42578125" customWidth="1"/>
    <col min="4" max="4" width="16.85546875" customWidth="1"/>
    <col min="5" max="5" width="29.7109375" customWidth="1"/>
  </cols>
  <sheetData>
    <row r="1" spans="1:5" x14ac:dyDescent="0.25">
      <c r="A1" s="3" t="s">
        <v>33</v>
      </c>
      <c r="B1" s="4" t="s">
        <v>34</v>
      </c>
      <c r="C1" s="4" t="s">
        <v>30</v>
      </c>
      <c r="D1" s="4" t="s">
        <v>35</v>
      </c>
      <c r="E1" s="4" t="s">
        <v>36</v>
      </c>
    </row>
    <row r="2" spans="1:5" x14ac:dyDescent="0.25">
      <c r="A2" s="3">
        <v>1</v>
      </c>
      <c r="B2" s="5" t="s">
        <v>37</v>
      </c>
      <c r="C2" s="6">
        <v>0.6</v>
      </c>
      <c r="D2" s="6">
        <v>0.4</v>
      </c>
      <c r="E2" s="5" t="s">
        <v>38</v>
      </c>
    </row>
    <row r="3" spans="1:5" x14ac:dyDescent="0.25">
      <c r="A3" s="3"/>
      <c r="B3" s="5"/>
      <c r="C3" s="4" t="s">
        <v>30</v>
      </c>
      <c r="D3" s="4" t="s">
        <v>39</v>
      </c>
      <c r="E3" s="5"/>
    </row>
    <row r="4" spans="1:5" x14ac:dyDescent="0.25">
      <c r="A4" s="3">
        <v>2</v>
      </c>
      <c r="B4" s="5" t="s">
        <v>40</v>
      </c>
      <c r="C4" s="6">
        <v>0.51</v>
      </c>
      <c r="D4" s="6">
        <v>0.49</v>
      </c>
      <c r="E4" s="5" t="s">
        <v>41</v>
      </c>
    </row>
    <row r="5" spans="1:5" x14ac:dyDescent="0.25">
      <c r="A5" s="3"/>
      <c r="B5" s="5"/>
      <c r="C5" s="4" t="s">
        <v>30</v>
      </c>
      <c r="D5" s="4" t="s">
        <v>42</v>
      </c>
      <c r="E5" s="5"/>
    </row>
    <row r="6" spans="1:5" x14ac:dyDescent="0.25">
      <c r="A6" s="3">
        <v>3</v>
      </c>
      <c r="B6" s="5" t="s">
        <v>43</v>
      </c>
      <c r="C6" s="6">
        <v>0.5</v>
      </c>
      <c r="D6" s="6">
        <v>0.5</v>
      </c>
      <c r="E6" s="5" t="s">
        <v>41</v>
      </c>
    </row>
    <row r="7" spans="1:5" x14ac:dyDescent="0.25">
      <c r="A7" s="3"/>
      <c r="B7" s="5"/>
      <c r="C7" s="4" t="s">
        <v>30</v>
      </c>
      <c r="D7" s="4" t="s">
        <v>44</v>
      </c>
      <c r="E7" s="5"/>
    </row>
    <row r="8" spans="1:5" x14ac:dyDescent="0.25">
      <c r="A8" s="3">
        <v>4</v>
      </c>
      <c r="B8" s="5" t="s">
        <v>45</v>
      </c>
      <c r="C8" s="6">
        <v>0.5</v>
      </c>
      <c r="D8" s="6">
        <v>0.5</v>
      </c>
      <c r="E8" s="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Historical Record </vt:lpstr>
      <vt:lpstr>Workforce-Records</vt:lpstr>
      <vt:lpstr>Goods &amp; Serrvices-Records</vt:lpstr>
      <vt:lpstr>Expenses &amp; Depreciation</vt:lpstr>
      <vt:lpstr>Capital Exp.</vt:lpstr>
      <vt:lpstr>Summary</vt:lpstr>
      <vt:lpstr>JV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Ghadeer Akkad</dc:creator>
  <cp:lastModifiedBy>hp</cp:lastModifiedBy>
  <dcterms:created xsi:type="dcterms:W3CDTF">2025-12-20T15:16:03Z</dcterms:created>
  <dcterms:modified xsi:type="dcterms:W3CDTF">2026-01-14T05:42:47Z</dcterms:modified>
</cp:coreProperties>
</file>